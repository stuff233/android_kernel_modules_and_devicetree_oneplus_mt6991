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-Support\2025\Oppo\202502\OV50D40+MT6899+KNIGHTM\202504073-settingModifyPDPackage\OV50D40-24MHz-NormalNormal-1902Mbps-20250407\"/>
    </mc:Choice>
  </mc:AlternateContent>
  <xr:revisionPtr revIDLastSave="0" documentId="13_ncr:1_{33AE448B-48F0-4D24-A160-E2B9B25641AD}" xr6:coauthVersionLast="47" xr6:coauthVersionMax="47" xr10:uidLastSave="{00000000-0000-0000-0000-000000000000}"/>
  <bookViews>
    <workbookView xWindow="-108" yWindow="-108" windowWidth="23256" windowHeight="12576" xr2:uid="{AABDD335-B91B-4899-B79A-9E1955551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K14" i="1"/>
  <c r="L13" i="1"/>
  <c r="K13" i="1"/>
  <c r="L12" i="1"/>
  <c r="K12" i="1"/>
  <c r="L10" i="1"/>
  <c r="K10" i="1"/>
  <c r="L9" i="1"/>
  <c r="K9" i="1"/>
  <c r="L11" i="1" l="1"/>
  <c r="K11" i="1"/>
  <c r="L7" i="1" l="1"/>
  <c r="K7" i="1"/>
  <c r="L8" i="1"/>
  <c r="K8" i="1"/>
  <c r="L6" i="1"/>
  <c r="K6" i="1"/>
</calcChain>
</file>

<file path=xl/sharedStrings.xml><?xml version="1.0" encoding="utf-8"?>
<sst xmlns="http://schemas.openxmlformats.org/spreadsheetml/2006/main" count="116" uniqueCount="51">
  <si>
    <t>Mode</t>
    <phoneticPr fontId="1" type="noConversion"/>
  </si>
  <si>
    <t>resolution</t>
    <phoneticPr fontId="1" type="noConversion"/>
  </si>
  <si>
    <t>Xoutput</t>
    <phoneticPr fontId="1" type="noConversion"/>
  </si>
  <si>
    <t>Youtput</t>
    <phoneticPr fontId="1" type="noConversion"/>
  </si>
  <si>
    <t>Mclk
(MHz)</t>
    <phoneticPr fontId="1" type="noConversion"/>
  </si>
  <si>
    <t>SA1_clk
(MHz)</t>
    <phoneticPr fontId="1" type="noConversion"/>
  </si>
  <si>
    <t>HTS</t>
    <phoneticPr fontId="1" type="noConversion"/>
  </si>
  <si>
    <t>VTS</t>
    <phoneticPr fontId="1" type="noConversion"/>
  </si>
  <si>
    <t>Tline
(us)</t>
    <phoneticPr fontId="1" type="noConversion"/>
  </si>
  <si>
    <t>Frame
Rate</t>
    <phoneticPr fontId="1" type="noConversion"/>
  </si>
  <si>
    <t>Blanking</t>
    <phoneticPr fontId="1" type="noConversion"/>
  </si>
  <si>
    <t>MIPI</t>
    <phoneticPr fontId="1" type="noConversion"/>
  </si>
  <si>
    <t>PDAF</t>
    <phoneticPr fontId="1" type="noConversion"/>
  </si>
  <si>
    <t>Orientation</t>
    <phoneticPr fontId="1" type="noConversion"/>
  </si>
  <si>
    <t>Bayer
pattern</t>
    <phoneticPr fontId="1" type="noConversion"/>
  </si>
  <si>
    <t>H-blank
(us)</t>
    <phoneticPr fontId="1" type="noConversion"/>
  </si>
  <si>
    <t>V-blank
(ms)</t>
    <phoneticPr fontId="1" type="noConversion"/>
  </si>
  <si>
    <t>LaneNum
TriNum</t>
    <phoneticPr fontId="1" type="noConversion"/>
  </si>
  <si>
    <t>MIPI speed
(Mbps)</t>
    <phoneticPr fontId="1" type="noConversion"/>
  </si>
  <si>
    <t>PDAF support
yes/no</t>
    <phoneticPr fontId="1" type="noConversion"/>
  </si>
  <si>
    <t>PDAF data
output</t>
    <phoneticPr fontId="1" type="noConversion"/>
  </si>
  <si>
    <t>PD
data</t>
    <phoneticPr fontId="1" type="noConversion"/>
  </si>
  <si>
    <t>PD
package</t>
    <phoneticPr fontId="1" type="noConversion"/>
  </si>
  <si>
    <t>mirror</t>
    <phoneticPr fontId="1" type="noConversion"/>
  </si>
  <si>
    <t>flip</t>
    <phoneticPr fontId="1" type="noConversion"/>
  </si>
  <si>
    <t>OV50D40 OutputInfo</t>
    <phoneticPr fontId="1" type="noConversion"/>
  </si>
  <si>
    <t>4096x3072</t>
    <phoneticPr fontId="1" type="noConversion"/>
  </si>
  <si>
    <t>2048x1536</t>
    <phoneticPr fontId="1" type="noConversion"/>
  </si>
  <si>
    <t>4096x2048</t>
    <phoneticPr fontId="1" type="noConversion"/>
  </si>
  <si>
    <t>D-phy</t>
    <phoneticPr fontId="1" type="noConversion"/>
  </si>
  <si>
    <t>yes</t>
    <phoneticPr fontId="1" type="noConversion"/>
  </si>
  <si>
    <t>992x760</t>
    <phoneticPr fontId="1" type="noConversion"/>
  </si>
  <si>
    <t>992x512</t>
    <phoneticPr fontId="1" type="noConversion"/>
  </si>
  <si>
    <t>VC</t>
    <phoneticPr fontId="1" type="noConversion"/>
  </si>
  <si>
    <t>Normal</t>
    <phoneticPr fontId="1" type="noConversion"/>
  </si>
  <si>
    <t>BGGR</t>
    <phoneticPr fontId="1" type="noConversion"/>
  </si>
  <si>
    <t>1920x1080</t>
    <phoneticPr fontId="1" type="noConversion"/>
  </si>
  <si>
    <t>2048x1152</t>
    <phoneticPr fontId="1" type="noConversion"/>
  </si>
  <si>
    <t>no</t>
    <phoneticPr fontId="1" type="noConversion"/>
  </si>
  <si>
    <t>\</t>
    <phoneticPr fontId="1" type="noConversion"/>
  </si>
  <si>
    <t>960x540</t>
    <phoneticPr fontId="1" type="noConversion"/>
  </si>
  <si>
    <t>992x576</t>
    <phoneticPr fontId="1" type="noConversion"/>
  </si>
  <si>
    <t>C-phy
/D-phy</t>
    <phoneticPr fontId="1" type="noConversion"/>
  </si>
  <si>
    <t>Gain</t>
    <phoneticPr fontId="1" type="noConversion"/>
  </si>
  <si>
    <t>HighGain</t>
    <phoneticPr fontId="1" type="noConversion"/>
  </si>
  <si>
    <t>NormalGain</t>
    <phoneticPr fontId="1" type="noConversion"/>
  </si>
  <si>
    <t>MTK PD configure</t>
    <phoneticPr fontId="1" type="noConversion"/>
  </si>
  <si>
    <t>.hsize</t>
  </si>
  <si>
    <t>.vsize</t>
  </si>
  <si>
    <r>
      <rPr>
        <sz val="11"/>
        <color rgb="FFFF0000"/>
        <rFont val="等线"/>
        <family val="3"/>
        <charset val="134"/>
        <scheme val="minor"/>
      </rPr>
      <t xml:space="preserve">备注：
</t>
    </r>
    <r>
      <rPr>
        <sz val="11"/>
        <rFont val="等线"/>
        <family val="3"/>
        <charset val="134"/>
        <scheme val="minor"/>
      </rPr>
      <t xml:space="preserve">HighGain：MaxGain </t>
    </r>
    <r>
      <rPr>
        <sz val="11"/>
        <color rgb="FFFF0000"/>
        <rFont val="等线"/>
        <family val="3"/>
        <charset val="134"/>
        <scheme val="minor"/>
      </rPr>
      <t>62x</t>
    </r>
    <r>
      <rPr>
        <sz val="11"/>
        <rFont val="等线"/>
        <family val="3"/>
        <charset val="134"/>
        <scheme val="minor"/>
      </rPr>
      <t xml:space="preserve">
NormalGain：MaxGain </t>
    </r>
    <r>
      <rPr>
        <sz val="11"/>
        <color rgb="FFFF0000"/>
        <rFont val="等线"/>
        <family val="3"/>
        <charset val="134"/>
        <scheme val="minor"/>
      </rPr>
      <t>15.5x</t>
    </r>
    <phoneticPr fontId="1" type="noConversion"/>
  </si>
  <si>
    <t>4096x2304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</si>
</sst>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B185-060A-4445-B424-5DC90085C880}">
  <dimension ref="C3:AA18"/>
  <sheetViews>
    <sheetView tabSelected="1" topLeftCell="C1" workbookViewId="0">
      <selection activeCell="V22" sqref="V22"/>
    </sheetView>
  </sheetViews>
  <sheetFormatPr defaultRowHeight="13.8"/>
  <cols>
    <col min="4" max="4" width="10.44140625" customWidth="1"/>
    <col min="7" max="7" width="6.77734375" customWidth="1"/>
    <col min="8" max="8" width="7.77734375" customWidth="1"/>
    <col min="9" max="9" width="6" customWidth="1"/>
    <col min="10" max="10" width="6.21875" customWidth="1"/>
    <col min="11" max="11" width="6.6640625" customWidth="1"/>
    <col min="12" max="12" width="6.88671875" customWidth="1"/>
    <col min="13" max="13" width="7.6640625" customWidth="1"/>
    <col min="14" max="14" width="8.109375" customWidth="1"/>
    <col min="15" max="15" width="7.88671875" customWidth="1"/>
    <col min="16" max="16" width="9.33203125" customWidth="1"/>
    <col min="17" max="17" width="7.88671875" customWidth="1"/>
    <col min="18" max="18" width="8.109375" customWidth="1"/>
    <col min="19" max="19" width="7.6640625" customWidth="1"/>
    <col min="20" max="22" width="8.44140625" customWidth="1"/>
    <col min="24" max="24" width="8.21875" customWidth="1"/>
    <col min="25" max="25" width="8.44140625" customWidth="1"/>
    <col min="26" max="26" width="7.77734375" customWidth="1"/>
    <col min="27" max="27" width="10.88671875" customWidth="1"/>
  </cols>
  <sheetData>
    <row r="3" spans="3:27">
      <c r="C3" t="s">
        <v>25</v>
      </c>
    </row>
    <row r="4" spans="3:27">
      <c r="C4" s="5" t="s">
        <v>0</v>
      </c>
      <c r="D4" s="5" t="s">
        <v>1</v>
      </c>
      <c r="E4" s="5" t="s">
        <v>2</v>
      </c>
      <c r="F4" s="5" t="s">
        <v>3</v>
      </c>
      <c r="G4" s="6" t="s">
        <v>4</v>
      </c>
      <c r="H4" s="6" t="s">
        <v>5</v>
      </c>
      <c r="I4" s="5" t="s">
        <v>6</v>
      </c>
      <c r="J4" s="5" t="s">
        <v>7</v>
      </c>
      <c r="K4" s="9" t="s">
        <v>8</v>
      </c>
      <c r="L4" s="6" t="s">
        <v>9</v>
      </c>
      <c r="M4" s="5" t="s">
        <v>10</v>
      </c>
      <c r="N4" s="5"/>
      <c r="O4" s="5" t="s">
        <v>11</v>
      </c>
      <c r="P4" s="5"/>
      <c r="Q4" s="5"/>
      <c r="R4" s="5" t="s">
        <v>12</v>
      </c>
      <c r="S4" s="5"/>
      <c r="T4" s="5"/>
      <c r="U4" s="5"/>
      <c r="V4" s="5" t="s">
        <v>46</v>
      </c>
      <c r="W4" s="5"/>
      <c r="X4" s="5" t="s">
        <v>13</v>
      </c>
      <c r="Y4" s="5"/>
      <c r="Z4" s="6" t="s">
        <v>14</v>
      </c>
      <c r="AA4" s="5" t="s">
        <v>43</v>
      </c>
    </row>
    <row r="5" spans="3:27" ht="55.8" customHeight="1">
      <c r="C5" s="5"/>
      <c r="D5" s="5"/>
      <c r="E5" s="5"/>
      <c r="F5" s="5"/>
      <c r="G5" s="5"/>
      <c r="H5" s="5"/>
      <c r="I5" s="5"/>
      <c r="J5" s="5"/>
      <c r="K5" s="10"/>
      <c r="L5" s="6"/>
      <c r="M5" s="2" t="s">
        <v>15</v>
      </c>
      <c r="N5" s="2" t="s">
        <v>16</v>
      </c>
      <c r="O5" s="2" t="s">
        <v>42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1" t="s">
        <v>47</v>
      </c>
      <c r="W5" s="1" t="s">
        <v>48</v>
      </c>
      <c r="X5" s="2" t="s">
        <v>23</v>
      </c>
      <c r="Y5" s="2" t="s">
        <v>24</v>
      </c>
      <c r="Z5" s="5"/>
      <c r="AA5" s="5"/>
    </row>
    <row r="6" spans="3:27">
      <c r="C6" s="1">
        <v>1</v>
      </c>
      <c r="D6" s="1" t="s">
        <v>26</v>
      </c>
      <c r="E6" s="1">
        <v>4096</v>
      </c>
      <c r="F6" s="1">
        <v>3072</v>
      </c>
      <c r="G6" s="1">
        <v>24</v>
      </c>
      <c r="H6" s="1">
        <v>100</v>
      </c>
      <c r="I6" s="1">
        <v>425</v>
      </c>
      <c r="J6" s="1">
        <v>9800</v>
      </c>
      <c r="K6" s="1">
        <f t="shared" ref="K6:K14" si="0">I6/H6</f>
        <v>4.25</v>
      </c>
      <c r="L6" s="4">
        <f t="shared" ref="L6:L14" si="1">H6*10^6/I6/J6</f>
        <v>24.009603841536613</v>
      </c>
      <c r="M6" s="1">
        <v>1.258</v>
      </c>
      <c r="N6" s="1">
        <v>15.538</v>
      </c>
      <c r="O6" s="1" t="s">
        <v>29</v>
      </c>
      <c r="P6" s="1">
        <v>4</v>
      </c>
      <c r="Q6" s="1">
        <v>1902</v>
      </c>
      <c r="R6" s="1" t="s">
        <v>30</v>
      </c>
      <c r="S6" s="1" t="s">
        <v>33</v>
      </c>
      <c r="T6" s="1" t="s">
        <v>31</v>
      </c>
      <c r="U6" s="1">
        <v>992</v>
      </c>
      <c r="V6" s="1">
        <v>992</v>
      </c>
      <c r="W6" s="1">
        <v>760</v>
      </c>
      <c r="X6" s="1" t="s">
        <v>34</v>
      </c>
      <c r="Y6" s="1" t="s">
        <v>34</v>
      </c>
      <c r="Z6" s="1" t="s">
        <v>35</v>
      </c>
      <c r="AA6" s="3" t="s">
        <v>44</v>
      </c>
    </row>
    <row r="7" spans="3:27">
      <c r="C7" s="1">
        <v>2</v>
      </c>
      <c r="D7" s="1" t="s">
        <v>27</v>
      </c>
      <c r="E7" s="1">
        <v>2048</v>
      </c>
      <c r="F7" s="1">
        <v>1536</v>
      </c>
      <c r="G7" s="1">
        <v>24</v>
      </c>
      <c r="H7" s="1">
        <v>100</v>
      </c>
      <c r="I7" s="1">
        <v>425</v>
      </c>
      <c r="J7" s="1">
        <v>7842</v>
      </c>
      <c r="K7" s="1">
        <f t="shared" si="0"/>
        <v>4.25</v>
      </c>
      <c r="L7" s="4">
        <f t="shared" si="1"/>
        <v>30.004350630841472</v>
      </c>
      <c r="M7" s="1">
        <v>2.6040000000000001</v>
      </c>
      <c r="N7" s="1">
        <v>20.271999999999998</v>
      </c>
      <c r="O7" s="1" t="s">
        <v>29</v>
      </c>
      <c r="P7" s="1">
        <v>4</v>
      </c>
      <c r="Q7" s="1">
        <v>1902</v>
      </c>
      <c r="R7" s="1" t="s">
        <v>30</v>
      </c>
      <c r="S7" s="1" t="s">
        <v>33</v>
      </c>
      <c r="T7" s="1" t="s">
        <v>31</v>
      </c>
      <c r="U7" s="1">
        <v>992</v>
      </c>
      <c r="V7" s="1">
        <v>992</v>
      </c>
      <c r="W7" s="1">
        <v>760</v>
      </c>
      <c r="X7" s="1" t="s">
        <v>34</v>
      </c>
      <c r="Y7" s="1" t="s">
        <v>34</v>
      </c>
      <c r="Z7" s="1" t="s">
        <v>35</v>
      </c>
      <c r="AA7" s="3" t="s">
        <v>44</v>
      </c>
    </row>
    <row r="8" spans="3:27">
      <c r="C8" s="1">
        <v>3</v>
      </c>
      <c r="D8" s="1" t="s">
        <v>28</v>
      </c>
      <c r="E8" s="1">
        <v>4096</v>
      </c>
      <c r="F8" s="1">
        <v>2048</v>
      </c>
      <c r="G8" s="1">
        <v>24</v>
      </c>
      <c r="H8" s="1">
        <v>100</v>
      </c>
      <c r="I8" s="1">
        <v>425</v>
      </c>
      <c r="J8" s="1">
        <v>7840</v>
      </c>
      <c r="K8" s="1">
        <f t="shared" si="0"/>
        <v>4.25</v>
      </c>
      <c r="L8" s="4">
        <f t="shared" si="1"/>
        <v>30.012004801920767</v>
      </c>
      <c r="M8" s="1">
        <v>1.258</v>
      </c>
      <c r="N8" s="1">
        <v>15.912000000000001</v>
      </c>
      <c r="O8" s="1" t="s">
        <v>29</v>
      </c>
      <c r="P8" s="1">
        <v>4</v>
      </c>
      <c r="Q8" s="1">
        <v>1902</v>
      </c>
      <c r="R8" s="1" t="s">
        <v>30</v>
      </c>
      <c r="S8" s="1" t="s">
        <v>33</v>
      </c>
      <c r="T8" s="1" t="s">
        <v>32</v>
      </c>
      <c r="U8" s="1">
        <v>992</v>
      </c>
      <c r="V8" s="1">
        <v>992</v>
      </c>
      <c r="W8" s="1">
        <v>512</v>
      </c>
      <c r="X8" s="1" t="s">
        <v>34</v>
      </c>
      <c r="Y8" s="1" t="s">
        <v>34</v>
      </c>
      <c r="Z8" s="1" t="s">
        <v>35</v>
      </c>
      <c r="AA8" s="3" t="s">
        <v>44</v>
      </c>
    </row>
    <row r="9" spans="3:27">
      <c r="C9" s="1">
        <v>4</v>
      </c>
      <c r="D9" s="1" t="s">
        <v>36</v>
      </c>
      <c r="E9" s="1">
        <v>1920</v>
      </c>
      <c r="F9" s="1">
        <v>1080</v>
      </c>
      <c r="G9" s="1">
        <v>24</v>
      </c>
      <c r="H9" s="1">
        <v>100</v>
      </c>
      <c r="I9" s="1">
        <v>325</v>
      </c>
      <c r="J9" s="1">
        <v>2564</v>
      </c>
      <c r="K9" s="1">
        <f t="shared" si="0"/>
        <v>3.25</v>
      </c>
      <c r="L9" s="4">
        <f t="shared" si="1"/>
        <v>120.00480019200768</v>
      </c>
      <c r="M9" s="1">
        <v>1.6879999999999999</v>
      </c>
      <c r="N9" s="1">
        <v>4.8230000000000004</v>
      </c>
      <c r="O9" s="1" t="s">
        <v>29</v>
      </c>
      <c r="P9" s="1">
        <v>4</v>
      </c>
      <c r="Q9" s="1">
        <v>1902</v>
      </c>
      <c r="R9" s="1" t="s">
        <v>30</v>
      </c>
      <c r="S9" s="1" t="s">
        <v>33</v>
      </c>
      <c r="T9" s="1" t="s">
        <v>40</v>
      </c>
      <c r="U9" s="1">
        <v>960</v>
      </c>
      <c r="V9" s="1">
        <v>960</v>
      </c>
      <c r="W9" s="1">
        <v>540</v>
      </c>
      <c r="X9" s="1" t="s">
        <v>34</v>
      </c>
      <c r="Y9" s="1" t="s">
        <v>34</v>
      </c>
      <c r="Z9" s="1" t="s">
        <v>35</v>
      </c>
      <c r="AA9" s="3" t="s">
        <v>45</v>
      </c>
    </row>
    <row r="10" spans="3:27">
      <c r="C10" s="1">
        <v>5</v>
      </c>
      <c r="D10" s="1" t="s">
        <v>36</v>
      </c>
      <c r="E10" s="1">
        <v>1920</v>
      </c>
      <c r="F10" s="1">
        <v>1080</v>
      </c>
      <c r="G10" s="1">
        <v>24</v>
      </c>
      <c r="H10" s="1">
        <v>100</v>
      </c>
      <c r="I10" s="1">
        <v>325</v>
      </c>
      <c r="J10" s="1">
        <v>1280</v>
      </c>
      <c r="K10" s="1">
        <f t="shared" si="0"/>
        <v>3.25</v>
      </c>
      <c r="L10" s="4">
        <f t="shared" si="1"/>
        <v>240.38461538461539</v>
      </c>
      <c r="M10" s="1">
        <v>1.6879999999999999</v>
      </c>
      <c r="N10" s="1">
        <v>0.65</v>
      </c>
      <c r="O10" s="1" t="s">
        <v>29</v>
      </c>
      <c r="P10" s="1">
        <v>4</v>
      </c>
      <c r="Q10" s="1">
        <v>1902</v>
      </c>
      <c r="R10" s="1" t="s">
        <v>38</v>
      </c>
      <c r="S10" s="1" t="s">
        <v>39</v>
      </c>
      <c r="T10" s="1" t="s">
        <v>39</v>
      </c>
      <c r="U10" s="1" t="s">
        <v>39</v>
      </c>
      <c r="V10" s="1" t="s">
        <v>39</v>
      </c>
      <c r="W10" s="1" t="s">
        <v>39</v>
      </c>
      <c r="X10" s="1" t="s">
        <v>34</v>
      </c>
      <c r="Y10" s="1" t="s">
        <v>34</v>
      </c>
      <c r="Z10" s="1" t="s">
        <v>35</v>
      </c>
      <c r="AA10" s="3" t="s">
        <v>45</v>
      </c>
    </row>
    <row r="11" spans="3:27">
      <c r="C11" s="1">
        <v>6</v>
      </c>
      <c r="D11" s="1" t="s">
        <v>37</v>
      </c>
      <c r="E11" s="1">
        <v>2048</v>
      </c>
      <c r="F11" s="1">
        <v>1152</v>
      </c>
      <c r="G11" s="1">
        <v>24</v>
      </c>
      <c r="H11" s="1">
        <v>100</v>
      </c>
      <c r="I11" s="1">
        <v>425</v>
      </c>
      <c r="J11" s="1">
        <v>7840</v>
      </c>
      <c r="K11" s="1">
        <f t="shared" si="0"/>
        <v>4.25</v>
      </c>
      <c r="L11" s="4">
        <f t="shared" si="1"/>
        <v>30.012004801920767</v>
      </c>
      <c r="M11" s="1">
        <v>2.6040000000000001</v>
      </c>
      <c r="N11" s="1">
        <v>23.527999999999999</v>
      </c>
      <c r="O11" s="1" t="s">
        <v>29</v>
      </c>
      <c r="P11" s="1">
        <v>4</v>
      </c>
      <c r="Q11" s="1">
        <v>1902</v>
      </c>
      <c r="R11" s="1" t="s">
        <v>30</v>
      </c>
      <c r="S11" s="1" t="s">
        <v>33</v>
      </c>
      <c r="T11" s="1" t="s">
        <v>41</v>
      </c>
      <c r="U11" s="1">
        <v>992</v>
      </c>
      <c r="V11" s="1">
        <v>992</v>
      </c>
      <c r="W11" s="1">
        <v>576</v>
      </c>
      <c r="X11" s="1" t="s">
        <v>34</v>
      </c>
      <c r="Y11" s="1" t="s">
        <v>34</v>
      </c>
      <c r="Z11" s="1" t="s">
        <v>35</v>
      </c>
      <c r="AA11" s="3" t="s">
        <v>44</v>
      </c>
    </row>
    <row r="12" spans="3:27">
      <c r="C12" s="1">
        <v>7</v>
      </c>
      <c r="D12" s="1" t="s">
        <v>26</v>
      </c>
      <c r="E12" s="1">
        <v>4096</v>
      </c>
      <c r="F12" s="1">
        <v>3072</v>
      </c>
      <c r="G12" s="1">
        <v>24</v>
      </c>
      <c r="H12" s="1">
        <v>100</v>
      </c>
      <c r="I12" s="1">
        <v>425</v>
      </c>
      <c r="J12" s="1">
        <v>7840</v>
      </c>
      <c r="K12" s="1">
        <f t="shared" si="0"/>
        <v>4.25</v>
      </c>
      <c r="L12" s="4">
        <f t="shared" si="1"/>
        <v>30.012004801920767</v>
      </c>
      <c r="M12" s="1">
        <v>1.258</v>
      </c>
      <c r="N12" s="1">
        <v>7.2080000000000002</v>
      </c>
      <c r="O12" s="1" t="s">
        <v>29</v>
      </c>
      <c r="P12" s="1">
        <v>4</v>
      </c>
      <c r="Q12" s="1">
        <v>1902</v>
      </c>
      <c r="R12" s="1" t="s">
        <v>30</v>
      </c>
      <c r="S12" s="1" t="s">
        <v>33</v>
      </c>
      <c r="T12" s="1" t="s">
        <v>31</v>
      </c>
      <c r="U12" s="1">
        <v>992</v>
      </c>
      <c r="V12" s="1">
        <v>992</v>
      </c>
      <c r="W12" s="1">
        <v>760</v>
      </c>
      <c r="X12" s="1" t="s">
        <v>34</v>
      </c>
      <c r="Y12" s="1" t="s">
        <v>34</v>
      </c>
      <c r="Z12" s="1" t="s">
        <v>35</v>
      </c>
      <c r="AA12" s="3" t="s">
        <v>44</v>
      </c>
    </row>
    <row r="13" spans="3:27">
      <c r="C13" s="1">
        <v>8</v>
      </c>
      <c r="D13" s="1" t="s">
        <v>50</v>
      </c>
      <c r="E13" s="1">
        <v>4096</v>
      </c>
      <c r="F13" s="1">
        <v>2304</v>
      </c>
      <c r="G13" s="1">
        <v>24</v>
      </c>
      <c r="H13" s="1">
        <v>100</v>
      </c>
      <c r="I13" s="1">
        <v>425</v>
      </c>
      <c r="J13" s="1">
        <v>7840</v>
      </c>
      <c r="K13" s="1">
        <f t="shared" si="0"/>
        <v>4.25</v>
      </c>
      <c r="L13" s="4">
        <f t="shared" si="1"/>
        <v>30.012004801920767</v>
      </c>
      <c r="M13" s="1">
        <v>1.258</v>
      </c>
      <c r="N13" s="1">
        <v>13.736000000000001</v>
      </c>
      <c r="O13" s="1" t="s">
        <v>29</v>
      </c>
      <c r="P13" s="1">
        <v>4</v>
      </c>
      <c r="Q13" s="1">
        <v>1902</v>
      </c>
      <c r="R13" s="1" t="s">
        <v>30</v>
      </c>
      <c r="S13" s="1" t="s">
        <v>33</v>
      </c>
      <c r="T13" s="1" t="s">
        <v>41</v>
      </c>
      <c r="U13" s="1">
        <v>992</v>
      </c>
      <c r="V13" s="1">
        <v>992</v>
      </c>
      <c r="W13" s="1">
        <v>576</v>
      </c>
      <c r="X13" s="1" t="s">
        <v>34</v>
      </c>
      <c r="Y13" s="1" t="s">
        <v>34</v>
      </c>
      <c r="Z13" s="1" t="s">
        <v>35</v>
      </c>
      <c r="AA13" s="3" t="s">
        <v>44</v>
      </c>
    </row>
    <row r="14" spans="3:27">
      <c r="C14" s="1">
        <v>9</v>
      </c>
      <c r="D14" s="1" t="s">
        <v>50</v>
      </c>
      <c r="E14" s="1">
        <v>4096</v>
      </c>
      <c r="F14" s="1">
        <v>2304</v>
      </c>
      <c r="G14" s="1">
        <v>24</v>
      </c>
      <c r="H14" s="1">
        <v>100</v>
      </c>
      <c r="I14" s="1">
        <v>325</v>
      </c>
      <c r="J14" s="1">
        <v>5128</v>
      </c>
      <c r="K14" s="1">
        <f t="shared" si="0"/>
        <v>3.25</v>
      </c>
      <c r="L14" s="4">
        <f t="shared" si="1"/>
        <v>60.002400096003839</v>
      </c>
      <c r="M14" s="1">
        <v>0.25800000000000001</v>
      </c>
      <c r="N14" s="1">
        <v>1.69</v>
      </c>
      <c r="O14" s="1" t="s">
        <v>29</v>
      </c>
      <c r="P14" s="1">
        <v>4</v>
      </c>
      <c r="Q14" s="1">
        <v>1902</v>
      </c>
      <c r="R14" s="1" t="s">
        <v>30</v>
      </c>
      <c r="S14" s="1" t="s">
        <v>33</v>
      </c>
      <c r="T14" s="1" t="s">
        <v>41</v>
      </c>
      <c r="U14" s="1">
        <v>992</v>
      </c>
      <c r="V14" s="1">
        <v>992</v>
      </c>
      <c r="W14" s="1">
        <v>576</v>
      </c>
      <c r="X14" s="1" t="s">
        <v>34</v>
      </c>
      <c r="Y14" s="1" t="s">
        <v>34</v>
      </c>
      <c r="Z14" s="1" t="s">
        <v>35</v>
      </c>
      <c r="AA14" s="3" t="s">
        <v>45</v>
      </c>
    </row>
    <row r="16" spans="3:27">
      <c r="C16" s="7" t="s">
        <v>49</v>
      </c>
      <c r="D16" s="8"/>
      <c r="E16" s="8"/>
      <c r="F16" s="8"/>
      <c r="G16" s="8"/>
      <c r="H16" s="8"/>
    </row>
    <row r="17" spans="3:8">
      <c r="C17" s="8"/>
      <c r="D17" s="8"/>
      <c r="E17" s="8"/>
      <c r="F17" s="8"/>
      <c r="G17" s="8"/>
      <c r="H17" s="8"/>
    </row>
    <row r="18" spans="3:8">
      <c r="C18" s="8"/>
      <c r="D18" s="8"/>
      <c r="E18" s="8"/>
      <c r="F18" s="8"/>
      <c r="G18" s="8"/>
      <c r="H18" s="8"/>
    </row>
  </sheetData>
  <mergeCells count="18">
    <mergeCell ref="D4:D5"/>
    <mergeCell ref="E4:E5"/>
    <mergeCell ref="F4:F5"/>
    <mergeCell ref="G4:G5"/>
    <mergeCell ref="AA4:AA5"/>
    <mergeCell ref="C16:H18"/>
    <mergeCell ref="X4:Y4"/>
    <mergeCell ref="Z4:Z5"/>
    <mergeCell ref="I4:I5"/>
    <mergeCell ref="J4:J5"/>
    <mergeCell ref="K4:K5"/>
    <mergeCell ref="L4:L5"/>
    <mergeCell ref="M4:N4"/>
    <mergeCell ref="O4:Q4"/>
    <mergeCell ref="R4:U4"/>
    <mergeCell ref="V4:W4"/>
    <mergeCell ref="H4:H5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(Ying) Wang 王莹</dc:creator>
  <cp:lastModifiedBy>Amy (Ying) Wang 王莹</cp:lastModifiedBy>
  <dcterms:created xsi:type="dcterms:W3CDTF">2025-02-17T01:00:43Z</dcterms:created>
  <dcterms:modified xsi:type="dcterms:W3CDTF">2025-04-07T01:11:06Z</dcterms:modified>
</cp:coreProperties>
</file>